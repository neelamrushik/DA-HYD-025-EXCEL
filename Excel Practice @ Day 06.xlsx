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 files/"/>
    </mc:Choice>
  </mc:AlternateContent>
  <xr:revisionPtr revIDLastSave="90" documentId="8_{A4D18A37-9006-459D-B155-4AEB47ACC6AC}" xr6:coauthVersionLast="47" xr6:coauthVersionMax="47" xr10:uidLastSave="{6070171F-5C13-4E9B-A8C9-2E47B09EC29D}"/>
  <bookViews>
    <workbookView xWindow="-108" yWindow="-108" windowWidth="23256" windowHeight="12456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2" l="1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" i="2"/>
  <c r="J5" i="1"/>
  <c r="J4" i="1"/>
  <c r="J3" i="1"/>
  <c r="J2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D23" i="1"/>
  <c r="E23" i="1"/>
  <c r="F23" i="1"/>
  <c r="G23" i="1"/>
  <c r="D24" i="1"/>
  <c r="E24" i="1"/>
  <c r="F24" i="1"/>
  <c r="G24" i="1"/>
  <c r="D25" i="1"/>
  <c r="E25" i="1"/>
  <c r="F25" i="1"/>
  <c r="G25" i="1"/>
  <c r="E22" i="1"/>
  <c r="F22" i="1"/>
  <c r="G22" i="1"/>
  <c r="D22" i="1"/>
  <c r="C25" i="1"/>
  <c r="C23" i="1"/>
  <c r="C24" i="1"/>
  <c r="C22" i="1"/>
  <c r="J7" i="1"/>
</calcChain>
</file>

<file path=xl/sharedStrings.xml><?xml version="1.0" encoding="utf-8"?>
<sst xmlns="http://schemas.openxmlformats.org/spreadsheetml/2006/main" count="192" uniqueCount="135">
  <si>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</si>
  <si>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</si>
  <si>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</si>
  <si>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</si>
  <si>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</si>
  <si>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</si>
  <si>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</si>
  <si>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</si>
  <si>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</si>
  <si>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</si>
  <si>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</si>
  <si>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</si>
  <si>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</si>
  <si>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</si>
  <si>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</si>
  <si>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</si>
  <si>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</si>
  <si>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</si>
  <si>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</si>
  <si>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</si>
  <si>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</si>
  <si>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</si>
  <si>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</si>
  <si>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</si>
  <si>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</si>
  <si>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</si>
  <si>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</si>
  <si>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</si>
  <si>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</si>
  <si>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</si>
  <si>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</si>
  <si>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</si>
  <si>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</si>
  <si>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</si>
  <si>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</si>
  <si>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</si>
  <si>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</si>
  <si>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</si>
  <si>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</si>
  <si>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</si>
  <si>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</si>
  <si>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</si>
  <si>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</si>
  <si>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</si>
  <si>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</si>
  <si>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</si>
  <si>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</si>
  <si>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</si>
  <si>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</si>
  <si>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</si>
  <si>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</si>
  <si>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</si>
  <si>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</si>
  <si>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</si>
  <si>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</si>
  <si>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</si>
  <si>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</si>
  <si>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</si>
  <si>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</si>
  <si>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</si>
  <si>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</si>
  <si>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</si>
  <si>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</si>
  <si>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</si>
  <si>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</si>
  <si>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</si>
  <si>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</si>
  <si>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</si>
  <si>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</si>
  <si>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</si>
  <si>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</si>
  <si>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</si>
  <si>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</si>
  <si>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</si>
  <si>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</si>
  <si>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</si>
  <si>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</si>
  <si>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</si>
  <si>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</si>
  <si>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</si>
  <si>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</si>
  <si>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</si>
  <si>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</si>
  <si>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</si>
  <si>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</si>
  <si>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</si>
  <si>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</si>
  <si>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</si>
  <si>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</si>
  <si>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</si>
  <si>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</si>
  <si>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</si>
  <si>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</si>
  <si>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</si>
  <si>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</si>
  <si>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</si>
  <si>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</si>
  <si>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</si>
  <si>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</si>
  <si>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</si>
  <si>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</si>
  <si>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</si>
  <si>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</si>
  <si>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</si>
  <si>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</si>
  <si>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</si>
  <si>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</si>
  <si>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</si>
  <si>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</si>
  <si>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</si>
  <si>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</si>
  <si>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</si>
  <si>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</si>
  <si>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</si>
  <si>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</si>
  <si>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</si>
  <si>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</si>
  <si>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</si>
  <si>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</si>
  <si>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</si>
  <si>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</si>
  <si>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</si>
  <si>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</si>
  <si>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</si>
  <si>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</si>
  <si>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</si>
  <si>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</si>
  <si>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</si>
  <si>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</si>
  <si>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</si>
  <si>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</si>
  <si>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</si>
  <si>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</si>
  <si>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rahul sharma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</si>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</sst>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NumberFormat="1" applyAlignment="1">
      <alignment horizont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J25"/>
  <sheetViews>
    <sheetView zoomScale="82" workbookViewId="0">
      <selection activeCell="K28" sqref="K28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10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10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  <c r="J2" t="str">
        <f>_xlfn.XLOOKUP("Rahul" &amp;"*",Adv.Xlookup!A2:A5,Adv.Xlookup!B2:B5,"N/A",2,1)</f>
        <v>IT</v>
      </c>
    </row>
    <row r="3" spans="1:10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  <c r="J3" t="str">
        <f>_xlfn.XLOOKUP("Rahul" &amp;"*",A2:A5,B2:B5,"n/a",2,-1)</f>
        <v>Finance</v>
      </c>
    </row>
    <row r="4" spans="1:10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  <c r="J4" t="str">
        <f>_xlfn.XLOOKUP(A3,A2:A5,B2:B5)</f>
        <v>HR</v>
      </c>
    </row>
    <row r="5" spans="1:10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  <c r="J5" t="str">
        <f>_xlfn.XLOOKUP("Priya" &amp;"*",A2:A5,B2:B5,"n/a",2,1)</f>
        <v>HR</v>
      </c>
    </row>
    <row r="6" spans="1:10">
      <c r="E6" s="1">
        <v>100000</v>
      </c>
      <c r="F6" s="4">
        <v>0.15</v>
      </c>
    </row>
    <row r="7" spans="1:10" ht="43.2">
      <c r="I7" s="3" t="s">
        <v>16</v>
      </c>
      <c r="J7" t="str">
        <f>_xlfn.XLOOKUP("R*",I2:I5,I2:I5,"N/A",2,1)</f>
        <v>Rahul Sharma</v>
      </c>
    </row>
    <row r="13" spans="1:10" ht="36">
      <c r="A13" s="13" t="s">
        <v>131</v>
      </c>
      <c r="B13" s="13" t="s">
        <v>11</v>
      </c>
      <c r="C13" s="13" t="s">
        <v>1</v>
      </c>
      <c r="D13" s="13" t="s">
        <v>20</v>
      </c>
      <c r="E13" s="13" t="s">
        <v>24</v>
      </c>
    </row>
    <row r="14" spans="1:10" ht="18">
      <c r="A14" s="14" t="s">
        <v>25</v>
      </c>
      <c r="B14" s="14" t="s">
        <v>4</v>
      </c>
      <c r="C14" s="14" t="s">
        <v>5</v>
      </c>
      <c r="D14" s="14" t="s">
        <v>27</v>
      </c>
      <c r="E14" s="14">
        <v>40000</v>
      </c>
    </row>
    <row r="15" spans="1:10" ht="18">
      <c r="A15" s="14" t="s">
        <v>29</v>
      </c>
      <c r="B15" s="14" t="s">
        <v>2</v>
      </c>
      <c r="C15" s="14" t="s">
        <v>3</v>
      </c>
      <c r="D15" s="14" t="s">
        <v>36</v>
      </c>
      <c r="E15" s="14">
        <v>55000</v>
      </c>
    </row>
    <row r="16" spans="1:10" ht="18">
      <c r="A16" s="14" t="s">
        <v>33</v>
      </c>
      <c r="B16" s="14" t="s">
        <v>132</v>
      </c>
      <c r="C16" s="14" t="s">
        <v>6</v>
      </c>
      <c r="D16" s="14" t="s">
        <v>41</v>
      </c>
      <c r="E16" s="14">
        <v>48000</v>
      </c>
    </row>
    <row r="17" spans="1:7" ht="18">
      <c r="A17" s="14" t="s">
        <v>38</v>
      </c>
      <c r="B17" s="14" t="s">
        <v>7</v>
      </c>
      <c r="C17" s="14" t="s">
        <v>8</v>
      </c>
      <c r="D17" s="14" t="s">
        <v>27</v>
      </c>
      <c r="E17" s="14">
        <v>42000</v>
      </c>
    </row>
    <row r="21" spans="1:7" ht="36">
      <c r="C21" s="13" t="s">
        <v>131</v>
      </c>
      <c r="D21" s="13" t="s">
        <v>11</v>
      </c>
      <c r="E21" s="13" t="s">
        <v>1</v>
      </c>
      <c r="F21" s="13" t="s">
        <v>20</v>
      </c>
      <c r="G21" s="13" t="s">
        <v>24</v>
      </c>
    </row>
    <row r="22" spans="1:7">
      <c r="C22" t="str">
        <f>_xlfn.XLOOKUP(A14,A14:A17,A14:A17)</f>
        <v>E101</v>
      </c>
      <c r="D22" t="str">
        <f>_xlfn.XLOOKUP($A14,$A$14:$A$17,B$14:B$17,"N/A",0,1)</f>
        <v>Priya</v>
      </c>
      <c r="E22" t="str">
        <f t="shared" ref="E22:G22" si="0">_xlfn.XLOOKUP($A14,$A$14:$A$17,C$14:C$17,"N/A",0,1)</f>
        <v>HR</v>
      </c>
      <c r="F22" t="str">
        <f t="shared" si="0"/>
        <v>Hyderabad</v>
      </c>
      <c r="G22">
        <f t="shared" si="0"/>
        <v>40000</v>
      </c>
    </row>
    <row r="23" spans="1:7">
      <c r="C23" t="str">
        <f t="shared" ref="C23:C24" si="1">_xlfn.XLOOKUP(A15,A15:A18,A15:A18)</f>
        <v>E102</v>
      </c>
      <c r="D23" t="str">
        <f t="shared" ref="D23:D25" si="2">_xlfn.XLOOKUP($A15,$A$14:$A$17,B$14:B$17,"N/A",0,1)</f>
        <v>Rahul</v>
      </c>
      <c r="E23" t="str">
        <f t="shared" ref="E23:E25" si="3">_xlfn.XLOOKUP($A15,$A$14:$A$17,C$14:C$17,"N/A",0,1)</f>
        <v>IT</v>
      </c>
      <c r="F23" t="str">
        <f t="shared" ref="F23:F25" si="4">_xlfn.XLOOKUP($A15,$A$14:$A$17,D$14:D$17,"N/A",0,1)</f>
        <v>Bangalore</v>
      </c>
      <c r="G23">
        <f t="shared" ref="G23:G25" si="5">_xlfn.XLOOKUP($A15,$A$14:$A$17,E$14:E$17,"N/A",0,1)</f>
        <v>55000</v>
      </c>
    </row>
    <row r="24" spans="1:7">
      <c r="C24" t="str">
        <f t="shared" si="1"/>
        <v>E103</v>
      </c>
      <c r="D24" t="str">
        <f t="shared" si="2"/>
        <v>Anil</v>
      </c>
      <c r="E24" t="str">
        <f t="shared" si="3"/>
        <v>Finance</v>
      </c>
      <c r="F24" t="str">
        <f t="shared" si="4"/>
        <v>Chennai</v>
      </c>
      <c r="G24">
        <f t="shared" si="5"/>
        <v>48000</v>
      </c>
    </row>
    <row r="25" spans="1:7">
      <c r="C25" t="str">
        <f>_xlfn.XLOOKUP(A17,A17:A20,A17:A20)</f>
        <v>E104</v>
      </c>
      <c r="D25" t="str">
        <f t="shared" si="2"/>
        <v>Sneha</v>
      </c>
      <c r="E25" t="str">
        <f t="shared" si="3"/>
        <v>Sales</v>
      </c>
      <c r="F25" t="str">
        <f t="shared" si="4"/>
        <v>Hyderabad</v>
      </c>
      <c r="G25">
        <f t="shared" si="5"/>
        <v>42000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AD62"/>
  <sheetViews>
    <sheetView tabSelected="1" zoomScale="103" zoomScaleNormal="85" workbookViewId="0">
      <selection activeCell="AH3" sqref="AH3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16.109375" customWidth="1"/>
    <col min="7" max="7" width="16.21875" customWidth="1"/>
    <col min="8" max="8" width="18.5546875" customWidth="1"/>
    <col min="9" max="9" width="12.88671875" customWidth="1"/>
    <col min="10" max="10" width="14.44140625" customWidth="1"/>
    <col min="14" max="14" width="15.33203125" customWidth="1"/>
    <col min="15" max="15" width="13.33203125" customWidth="1"/>
    <col min="16" max="16" width="12.5546875" customWidth="1"/>
    <col min="18" max="18" width="13.6640625" customWidth="1"/>
    <col min="19" max="19" width="11.21875" customWidth="1"/>
    <col min="21" max="21" width="20.109375" customWidth="1"/>
    <col min="22" max="22" width="30.21875" customWidth="1"/>
    <col min="23" max="23" width="26.33203125" customWidth="1"/>
    <col min="28" max="28" width="14.21875" bestFit="1" customWidth="1"/>
    <col min="30" max="30" width="14.21875" bestFit="1" customWidth="1"/>
  </cols>
  <sheetData>
    <row r="1" spans="1:30">
      <c r="A1" s="8" t="s">
        <v>17</v>
      </c>
      <c r="B1" s="8" t="s">
        <v>18</v>
      </c>
      <c r="C1" s="8" t="s">
        <v>19</v>
      </c>
      <c r="D1" s="8" t="s">
        <v>1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 s="15" t="s">
        <v>134</v>
      </c>
    </row>
    <row r="2" spans="1:30">
      <c r="A2" s="3" t="s">
        <v>25</v>
      </c>
      <c r="B2" s="3" t="s">
        <v>133</v>
      </c>
      <c r="C2" s="5" t="s">
        <v>26</v>
      </c>
      <c r="D2" s="3" t="s">
        <v>8</v>
      </c>
      <c r="E2" s="3" t="s">
        <v>27</v>
      </c>
      <c r="F2" s="6">
        <v>44576</v>
      </c>
      <c r="G2" s="6">
        <v>34862</v>
      </c>
      <c r="H2" s="3" t="s">
        <v>28</v>
      </c>
      <c r="I2" s="3">
        <v>45000</v>
      </c>
      <c r="J2" s="15" t="str">
        <f>LEFT(H2,3)</f>
        <v>HYD</v>
      </c>
      <c r="K2" t="str">
        <f>RIGHT(H2,3)</f>
        <v>101</v>
      </c>
      <c r="L2" t="str">
        <f>MID(H2,5,3)</f>
        <v>SAL</v>
      </c>
      <c r="M2">
        <f>LEN(B2)</f>
        <v>12</v>
      </c>
      <c r="N2" t="str">
        <f>TRIM(B2)</f>
        <v>rahul sharma</v>
      </c>
      <c r="O2" t="str">
        <f>PROPER(B2)</f>
        <v>Rahul Sharma</v>
      </c>
      <c r="P2" t="str">
        <f>TRIM(PROPER(B2))</f>
        <v>Rahul Sharma</v>
      </c>
      <c r="Q2">
        <f>FIND("@",C2,1)</f>
        <v>13</v>
      </c>
      <c r="R2" t="str">
        <f>LEFT(C2,FIND("@",C2)-1)</f>
        <v>rahul.sharma</v>
      </c>
      <c r="S2" t="str">
        <f>RIGHT(C2,LEN(C2)-FIND("@",C2))</f>
        <v>gmail.com</v>
      </c>
      <c r="T2" t="str">
        <f>IF(ISNUMBER(SEARCH("gmail.com",C2)),"Gmail","others")</f>
        <v>Gmail</v>
      </c>
      <c r="U2" t="str">
        <f>_xlfn.CONCAT(A2,"-",B2)</f>
        <v>E101-rahul sharma</v>
      </c>
      <c r="V2" t="str">
        <f>_xlfn.CONCAT(B2,"|",D2,"|",E2)</f>
        <v>rahul sharma|Sales|Hyderabad</v>
      </c>
      <c r="W2" t="str">
        <f>SUBSTITUTE(C2,"gmail.com","company.com")</f>
        <v>rahul.sharma@company.com</v>
      </c>
      <c r="X2">
        <f>DAY(F2)</f>
        <v>15</v>
      </c>
      <c r="Y2">
        <f>MONTH(F2)</f>
        <v>1</v>
      </c>
      <c r="Z2">
        <f>YEAR(F2)</f>
        <v>2022</v>
      </c>
      <c r="AA2">
        <f>YEAR(F2)</f>
        <v>2022</v>
      </c>
      <c r="AB2" s="17" t="str">
        <f>TEXT(DATE(2022,Y2,15),"mmm")</f>
        <v>Jan</v>
      </c>
      <c r="AC2" s="15" t="str">
        <f>TEXT(F2,"mmm-yy")</f>
        <v>Jan-22</v>
      </c>
      <c r="AD2" s="18">
        <f ca="1">YEAR(TODAY())-YEAR(G2)</f>
        <v>31</v>
      </c>
    </row>
    <row r="3" spans="1:30">
      <c r="A3" s="3" t="s">
        <v>29</v>
      </c>
      <c r="B3" s="3" t="s">
        <v>30</v>
      </c>
      <c r="C3" s="5" t="s">
        <v>31</v>
      </c>
      <c r="D3" s="3" t="s">
        <v>6</v>
      </c>
      <c r="E3" s="3" t="s">
        <v>27</v>
      </c>
      <c r="F3" s="6">
        <v>44277</v>
      </c>
      <c r="G3" s="6">
        <v>33821</v>
      </c>
      <c r="H3" s="3" t="s">
        <v>32</v>
      </c>
      <c r="I3" s="3">
        <v>52000</v>
      </c>
      <c r="J3" s="15" t="str">
        <f t="shared" ref="J3:J19" si="0">LEFT(H3,3)</f>
        <v>HYD</v>
      </c>
      <c r="K3" t="str">
        <f t="shared" ref="K3:K19" si="1">RIGHT(H3,3)</f>
        <v>102</v>
      </c>
      <c r="L3" t="str">
        <f t="shared" ref="L3:L19" si="2">MID(H3,5,3)</f>
        <v>FIN</v>
      </c>
      <c r="M3">
        <f t="shared" ref="M3:M19" si="3">LEN(B3)</f>
        <v>11</v>
      </c>
      <c r="N3" t="str">
        <f t="shared" ref="N3:N19" si="4">TRIM(B3)</f>
        <v>PRIYA REDDY</v>
      </c>
      <c r="O3" t="str">
        <f t="shared" ref="O3:O19" si="5">PROPER(B3)</f>
        <v>Priya Reddy</v>
      </c>
      <c r="P3" t="str">
        <f t="shared" ref="P3:P19" si="6">TRIM(PROPER(B3))</f>
        <v>Priya Reddy</v>
      </c>
      <c r="Q3">
        <f t="shared" ref="Q3:Q19" si="7">FIND("@",C3,1)</f>
        <v>12</v>
      </c>
      <c r="R3" t="str">
        <f t="shared" ref="R3:R19" si="8">LEFT(C3,FIND("@",C3)-1)</f>
        <v>priya.reddy</v>
      </c>
      <c r="S3" t="str">
        <f t="shared" ref="S3:S19" si="9">RIGHT(C3,LEN(C3)-FIND("@",C3))</f>
        <v>gmail.com</v>
      </c>
      <c r="T3" t="str">
        <f t="shared" ref="T3:T19" si="10">IF(ISNUMBER(SEARCH("gmail.com",C3)),"Gmail","others")</f>
        <v>Gmail</v>
      </c>
      <c r="U3" t="str">
        <f t="shared" ref="U3:U19" si="11">_xlfn.CONCAT(A3,"-",B3)</f>
        <v>E102-PRIYA REDDY</v>
      </c>
      <c r="V3" t="str">
        <f t="shared" ref="V3:V19" si="12">_xlfn.CONCAT(B3,"|",D3,"|",E3)</f>
        <v>PRIYA REDDY|Finance|Hyderabad</v>
      </c>
      <c r="W3" t="str">
        <f t="shared" ref="W3:W19" si="13">SUBSTITUTE(C3,"gmail.com","company.com")</f>
        <v>priya.reddy@company.com</v>
      </c>
      <c r="X3">
        <f t="shared" ref="X3:X19" si="14">DAY(F3)</f>
        <v>22</v>
      </c>
      <c r="Y3">
        <f t="shared" ref="Y3:Y19" si="15">MONTH(F3)</f>
        <v>3</v>
      </c>
      <c r="Z3">
        <f t="shared" ref="Z3:Z19" si="16">YEAR(F3)</f>
        <v>2021</v>
      </c>
      <c r="AA3">
        <f t="shared" ref="AA3:AA19" si="17">YEAR(F3)</f>
        <v>2021</v>
      </c>
      <c r="AB3" s="17" t="str">
        <f t="shared" ref="AB3:AB19" si="18">TEXT(DATE(2022,Y3,15),"mmm")</f>
        <v>Mar</v>
      </c>
      <c r="AC3" s="15" t="str">
        <f t="shared" ref="AC3:AC19" si="19">TEXT(F3,"mmm-yy")</f>
        <v>Mar-21</v>
      </c>
      <c r="AD3" s="18">
        <f t="shared" ref="AD3:AD19" ca="1" si="20">YEAR(TODAY())-YEAR(G3)</f>
        <v>34</v>
      </c>
    </row>
    <row r="4" spans="1:30">
      <c r="A4" s="3" t="s">
        <v>33</v>
      </c>
      <c r="B4" s="3" t="s">
        <v>34</v>
      </c>
      <c r="C4" s="5" t="s">
        <v>35</v>
      </c>
      <c r="D4" s="3" t="s">
        <v>3</v>
      </c>
      <c r="E4" s="3" t="s">
        <v>36</v>
      </c>
      <c r="F4" s="6">
        <v>45117</v>
      </c>
      <c r="G4" s="6">
        <v>35844</v>
      </c>
      <c r="H4" s="3" t="s">
        <v>37</v>
      </c>
      <c r="I4" s="3">
        <v>48000</v>
      </c>
      <c r="J4" s="15" t="str">
        <f t="shared" si="0"/>
        <v>BLR</v>
      </c>
      <c r="K4" t="str">
        <f t="shared" si="1"/>
        <v>103</v>
      </c>
      <c r="L4" t="str">
        <f t="shared" si="2"/>
        <v>IT-</v>
      </c>
      <c r="M4">
        <f t="shared" si="3"/>
        <v>10</v>
      </c>
      <c r="N4" t="str">
        <f t="shared" si="4"/>
        <v>anil kumar</v>
      </c>
      <c r="O4" t="str">
        <f t="shared" si="5"/>
        <v>Anil Kumar</v>
      </c>
      <c r="P4" t="str">
        <f t="shared" si="6"/>
        <v>Anil Kumar</v>
      </c>
      <c r="Q4">
        <f t="shared" si="7"/>
        <v>11</v>
      </c>
      <c r="R4" t="str">
        <f t="shared" si="8"/>
        <v>anil.kumar</v>
      </c>
      <c r="S4" t="str">
        <f t="shared" si="9"/>
        <v>gmail.com</v>
      </c>
      <c r="T4" t="str">
        <f t="shared" si="10"/>
        <v>Gmail</v>
      </c>
      <c r="U4" t="str">
        <f t="shared" si="11"/>
        <v>E103-anil kumar</v>
      </c>
      <c r="V4" t="str">
        <f t="shared" si="12"/>
        <v>anil kumar|IT|Bangalore</v>
      </c>
      <c r="W4" t="str">
        <f t="shared" si="13"/>
        <v>anil.kumar@company.com</v>
      </c>
      <c r="X4">
        <f t="shared" si="14"/>
        <v>10</v>
      </c>
      <c r="Y4">
        <f t="shared" si="15"/>
        <v>7</v>
      </c>
      <c r="Z4">
        <f t="shared" si="16"/>
        <v>2023</v>
      </c>
      <c r="AA4">
        <f t="shared" si="17"/>
        <v>2023</v>
      </c>
      <c r="AB4" s="17" t="str">
        <f t="shared" si="18"/>
        <v>Jul</v>
      </c>
      <c r="AC4" s="15" t="str">
        <f t="shared" si="19"/>
        <v>Jul-23</v>
      </c>
      <c r="AD4" s="18">
        <f t="shared" ca="1" si="20"/>
        <v>28</v>
      </c>
    </row>
    <row r="5" spans="1:30">
      <c r="A5" s="3" t="s">
        <v>38</v>
      </c>
      <c r="B5" s="3" t="s">
        <v>39</v>
      </c>
      <c r="C5" s="5" t="s">
        <v>40</v>
      </c>
      <c r="D5" s="3" t="s">
        <v>5</v>
      </c>
      <c r="E5" s="3" t="s">
        <v>41</v>
      </c>
      <c r="F5" s="6">
        <v>43866</v>
      </c>
      <c r="G5" s="6">
        <v>33202</v>
      </c>
      <c r="H5" s="3" t="s">
        <v>42</v>
      </c>
      <c r="I5" s="3">
        <v>50000</v>
      </c>
      <c r="J5" s="15" t="str">
        <f t="shared" si="0"/>
        <v>CHE</v>
      </c>
      <c r="K5" t="str">
        <f t="shared" si="1"/>
        <v>104</v>
      </c>
      <c r="L5" t="str">
        <f t="shared" si="2"/>
        <v>HR-</v>
      </c>
      <c r="M5">
        <f t="shared" si="3"/>
        <v>9</v>
      </c>
      <c r="N5" t="str">
        <f t="shared" si="4"/>
        <v>Sneha Rao</v>
      </c>
      <c r="O5" t="str">
        <f t="shared" si="5"/>
        <v>Sneha Rao</v>
      </c>
      <c r="P5" t="str">
        <f t="shared" si="6"/>
        <v>Sneha Rao</v>
      </c>
      <c r="Q5">
        <f t="shared" si="7"/>
        <v>10</v>
      </c>
      <c r="R5" t="str">
        <f t="shared" si="8"/>
        <v>sneha.rao</v>
      </c>
      <c r="S5" t="str">
        <f t="shared" si="9"/>
        <v>yahoo.com</v>
      </c>
      <c r="T5" t="str">
        <f t="shared" si="10"/>
        <v>others</v>
      </c>
      <c r="U5" t="str">
        <f t="shared" si="11"/>
        <v>E104-Sneha Rao</v>
      </c>
      <c r="V5" t="str">
        <f t="shared" si="12"/>
        <v>Sneha Rao|HR|Chennai</v>
      </c>
      <c r="W5" t="str">
        <f t="shared" si="13"/>
        <v>sneha.rao@yahoo.com</v>
      </c>
      <c r="X5">
        <f t="shared" si="14"/>
        <v>5</v>
      </c>
      <c r="Y5">
        <f t="shared" si="15"/>
        <v>2</v>
      </c>
      <c r="Z5">
        <f t="shared" si="16"/>
        <v>2020</v>
      </c>
      <c r="AA5">
        <f t="shared" si="17"/>
        <v>2020</v>
      </c>
      <c r="AB5" s="17" t="str">
        <f t="shared" si="18"/>
        <v>Feb</v>
      </c>
      <c r="AC5" s="15" t="str">
        <f t="shared" si="19"/>
        <v>Feb-20</v>
      </c>
      <c r="AD5" s="18">
        <f t="shared" ca="1" si="20"/>
        <v>36</v>
      </c>
    </row>
    <row r="6" spans="1:30">
      <c r="A6" s="3" t="s">
        <v>43</v>
      </c>
      <c r="B6" s="3" t="s">
        <v>44</v>
      </c>
      <c r="C6" s="5" t="s">
        <v>45</v>
      </c>
      <c r="D6" s="3" t="s">
        <v>3</v>
      </c>
      <c r="E6" s="3" t="s">
        <v>27</v>
      </c>
      <c r="F6" s="6">
        <v>44822</v>
      </c>
      <c r="G6" s="6">
        <v>35154</v>
      </c>
      <c r="H6" s="3" t="s">
        <v>46</v>
      </c>
      <c r="I6" s="3">
        <v>60000</v>
      </c>
      <c r="J6" s="15" t="str">
        <f t="shared" si="0"/>
        <v>HYD</v>
      </c>
      <c r="K6" t="str">
        <f t="shared" si="1"/>
        <v>105</v>
      </c>
      <c r="L6" t="str">
        <f t="shared" si="2"/>
        <v>IT-</v>
      </c>
      <c r="M6">
        <f t="shared" si="3"/>
        <v>11</v>
      </c>
      <c r="N6" t="str">
        <f t="shared" si="4"/>
        <v>arjun verma</v>
      </c>
      <c r="O6" t="str">
        <f t="shared" si="5"/>
        <v>Arjun Verma</v>
      </c>
      <c r="P6" t="str">
        <f t="shared" si="6"/>
        <v>Arjun Verma</v>
      </c>
      <c r="Q6">
        <f t="shared" si="7"/>
        <v>12</v>
      </c>
      <c r="R6" t="str">
        <f t="shared" si="8"/>
        <v>arjun.verma</v>
      </c>
      <c r="S6" t="str">
        <f t="shared" si="9"/>
        <v>gmail.com</v>
      </c>
      <c r="T6" t="str">
        <f t="shared" si="10"/>
        <v>Gmail</v>
      </c>
      <c r="U6" t="str">
        <f t="shared" si="11"/>
        <v>E105-arjun verma</v>
      </c>
      <c r="V6" t="str">
        <f t="shared" si="12"/>
        <v>arjun verma|IT|Hyderabad</v>
      </c>
      <c r="W6" t="str">
        <f t="shared" si="13"/>
        <v>arjun.verma@company.com</v>
      </c>
      <c r="X6">
        <f t="shared" si="14"/>
        <v>18</v>
      </c>
      <c r="Y6">
        <f t="shared" si="15"/>
        <v>9</v>
      </c>
      <c r="Z6">
        <f t="shared" si="16"/>
        <v>2022</v>
      </c>
      <c r="AA6">
        <f t="shared" si="17"/>
        <v>2022</v>
      </c>
      <c r="AB6" s="17" t="str">
        <f t="shared" si="18"/>
        <v>Sep</v>
      </c>
      <c r="AC6" s="15" t="str">
        <f t="shared" si="19"/>
        <v>Sep-22</v>
      </c>
      <c r="AD6" s="18">
        <f t="shared" ca="1" si="20"/>
        <v>30</v>
      </c>
    </row>
    <row r="7" spans="1:30">
      <c r="A7" s="3" t="s">
        <v>47</v>
      </c>
      <c r="B7" s="3" t="s">
        <v>48</v>
      </c>
      <c r="C7" s="5" t="s">
        <v>49</v>
      </c>
      <c r="D7" s="3" t="s">
        <v>8</v>
      </c>
      <c r="E7" s="3" t="s">
        <v>50</v>
      </c>
      <c r="F7" s="6">
        <v>45393</v>
      </c>
      <c r="G7" s="6">
        <v>36539</v>
      </c>
      <c r="H7" s="3" t="s">
        <v>51</v>
      </c>
      <c r="I7" s="3">
        <v>38000</v>
      </c>
      <c r="J7" s="15" t="str">
        <f t="shared" si="0"/>
        <v>MUM</v>
      </c>
      <c r="K7" t="str">
        <f t="shared" si="1"/>
        <v>106</v>
      </c>
      <c r="L7" t="str">
        <f t="shared" si="2"/>
        <v>SAL</v>
      </c>
      <c r="M7">
        <f t="shared" si="3"/>
        <v>10</v>
      </c>
      <c r="N7" t="str">
        <f t="shared" si="4"/>
        <v>MEENA DEVI</v>
      </c>
      <c r="O7" t="str">
        <f t="shared" si="5"/>
        <v>Meena Devi</v>
      </c>
      <c r="P7" t="str">
        <f t="shared" si="6"/>
        <v>Meena Devi</v>
      </c>
      <c r="Q7">
        <f t="shared" si="7"/>
        <v>11</v>
      </c>
      <c r="R7" t="str">
        <f t="shared" si="8"/>
        <v>meena.devi</v>
      </c>
      <c r="S7" t="str">
        <f t="shared" si="9"/>
        <v>gmail.com</v>
      </c>
      <c r="T7" t="str">
        <f t="shared" si="10"/>
        <v>Gmail</v>
      </c>
      <c r="U7" t="str">
        <f t="shared" si="11"/>
        <v>E106-MEENA DEVI</v>
      </c>
      <c r="V7" t="str">
        <f t="shared" si="12"/>
        <v>MEENA DEVI|Sales|Mumbai</v>
      </c>
      <c r="W7" t="str">
        <f t="shared" si="13"/>
        <v>meena.devi@company.com</v>
      </c>
      <c r="X7">
        <f t="shared" si="14"/>
        <v>11</v>
      </c>
      <c r="Y7">
        <f t="shared" si="15"/>
        <v>4</v>
      </c>
      <c r="Z7">
        <f t="shared" si="16"/>
        <v>2024</v>
      </c>
      <c r="AA7">
        <f t="shared" si="17"/>
        <v>2024</v>
      </c>
      <c r="AB7" s="17" t="str">
        <f t="shared" si="18"/>
        <v>Apr</v>
      </c>
      <c r="AC7" s="15" t="str">
        <f t="shared" si="19"/>
        <v>Apr-24</v>
      </c>
      <c r="AD7" s="18">
        <f t="shared" ca="1" si="20"/>
        <v>26</v>
      </c>
    </row>
    <row r="8" spans="1:30">
      <c r="A8" s="3" t="s">
        <v>52</v>
      </c>
      <c r="B8" s="3" t="s">
        <v>53</v>
      </c>
      <c r="C8" s="5" t="s">
        <v>54</v>
      </c>
      <c r="D8" s="3" t="s">
        <v>6</v>
      </c>
      <c r="E8" s="3" t="s">
        <v>36</v>
      </c>
      <c r="F8" s="6">
        <v>44527</v>
      </c>
      <c r="G8" s="6">
        <v>34171</v>
      </c>
      <c r="H8" s="3" t="s">
        <v>55</v>
      </c>
      <c r="I8" s="3">
        <v>57000</v>
      </c>
      <c r="J8" s="15" t="str">
        <f t="shared" si="0"/>
        <v>BLR</v>
      </c>
      <c r="K8" t="str">
        <f t="shared" si="1"/>
        <v>107</v>
      </c>
      <c r="L8" t="str">
        <f t="shared" si="2"/>
        <v>FIN</v>
      </c>
      <c r="M8">
        <f t="shared" si="3"/>
        <v>11</v>
      </c>
      <c r="N8" t="str">
        <f t="shared" si="4"/>
        <v>Kiran Reddy</v>
      </c>
      <c r="O8" t="str">
        <f t="shared" si="5"/>
        <v>Kiran Reddy</v>
      </c>
      <c r="P8" t="str">
        <f t="shared" si="6"/>
        <v>Kiran Reddy</v>
      </c>
      <c r="Q8">
        <f t="shared" si="7"/>
        <v>12</v>
      </c>
      <c r="R8" t="str">
        <f t="shared" si="8"/>
        <v>kiran.reddy</v>
      </c>
      <c r="S8" t="str">
        <f t="shared" si="9"/>
        <v>yahoo.com</v>
      </c>
      <c r="T8" t="str">
        <f t="shared" si="10"/>
        <v>others</v>
      </c>
      <c r="U8" t="str">
        <f t="shared" si="11"/>
        <v>E107-Kiran Reddy</v>
      </c>
      <c r="V8" t="str">
        <f t="shared" si="12"/>
        <v>Kiran Reddy|Finance|Bangalore</v>
      </c>
      <c r="W8" t="str">
        <f t="shared" si="13"/>
        <v>kiran.reddy@yahoo.com</v>
      </c>
      <c r="X8">
        <f t="shared" si="14"/>
        <v>27</v>
      </c>
      <c r="Y8">
        <f t="shared" si="15"/>
        <v>11</v>
      </c>
      <c r="Z8">
        <f t="shared" si="16"/>
        <v>2021</v>
      </c>
      <c r="AA8">
        <f t="shared" si="17"/>
        <v>2021</v>
      </c>
      <c r="AB8" s="17" t="str">
        <f t="shared" si="18"/>
        <v>Nov</v>
      </c>
      <c r="AC8" s="15" t="str">
        <f t="shared" si="19"/>
        <v>Nov-21</v>
      </c>
      <c r="AD8" s="18">
        <f t="shared" ca="1" si="20"/>
        <v>33</v>
      </c>
    </row>
    <row r="9" spans="1:30">
      <c r="A9" s="3" t="s">
        <v>56</v>
      </c>
      <c r="B9" s="3" t="s">
        <v>57</v>
      </c>
      <c r="C9" s="5" t="s">
        <v>58</v>
      </c>
      <c r="D9" s="3" t="s">
        <v>59</v>
      </c>
      <c r="E9" s="3" t="s">
        <v>27</v>
      </c>
      <c r="F9" s="6">
        <v>44935</v>
      </c>
      <c r="G9" s="6">
        <v>35706</v>
      </c>
      <c r="H9" s="3" t="s">
        <v>60</v>
      </c>
      <c r="I9" s="3">
        <v>42000</v>
      </c>
      <c r="J9" s="15" t="str">
        <f t="shared" si="0"/>
        <v>HYD</v>
      </c>
      <c r="K9" t="str">
        <f t="shared" si="1"/>
        <v>108</v>
      </c>
      <c r="L9" t="str">
        <f t="shared" si="2"/>
        <v>MKT</v>
      </c>
      <c r="M9">
        <f t="shared" si="3"/>
        <v>11</v>
      </c>
      <c r="N9" t="str">
        <f t="shared" si="4"/>
        <v>rohit kumar</v>
      </c>
      <c r="O9" t="str">
        <f t="shared" si="5"/>
        <v>Rohit Kumar</v>
      </c>
      <c r="P9" t="str">
        <f t="shared" si="6"/>
        <v>Rohit Kumar</v>
      </c>
      <c r="Q9">
        <f t="shared" si="7"/>
        <v>12</v>
      </c>
      <c r="R9" t="str">
        <f t="shared" si="8"/>
        <v>rohit.kumar</v>
      </c>
      <c r="S9" t="str">
        <f t="shared" si="9"/>
        <v>gmail.com</v>
      </c>
      <c r="T9" t="str">
        <f t="shared" si="10"/>
        <v>Gmail</v>
      </c>
      <c r="U9" t="str">
        <f t="shared" si="11"/>
        <v>E108-rohit kumar</v>
      </c>
      <c r="V9" t="str">
        <f t="shared" si="12"/>
        <v>rohit kumar|Marketing|Hyderabad</v>
      </c>
      <c r="W9" t="str">
        <f t="shared" si="13"/>
        <v>rohit.kumar@company.com</v>
      </c>
      <c r="X9">
        <f t="shared" si="14"/>
        <v>9</v>
      </c>
      <c r="Y9">
        <f t="shared" si="15"/>
        <v>1</v>
      </c>
      <c r="Z9">
        <f t="shared" si="16"/>
        <v>2023</v>
      </c>
      <c r="AA9">
        <f t="shared" si="17"/>
        <v>2023</v>
      </c>
      <c r="AB9" s="17" t="str">
        <f t="shared" si="18"/>
        <v>Jan</v>
      </c>
      <c r="AC9" s="15" t="str">
        <f t="shared" si="19"/>
        <v>Jan-23</v>
      </c>
      <c r="AD9" s="18">
        <f t="shared" ca="1" si="20"/>
        <v>29</v>
      </c>
    </row>
    <row r="10" spans="1:30">
      <c r="A10" s="3" t="s">
        <v>61</v>
      </c>
      <c r="B10" s="3" t="s">
        <v>62</v>
      </c>
      <c r="C10" s="5" t="s">
        <v>63</v>
      </c>
      <c r="D10" s="3" t="s">
        <v>5</v>
      </c>
      <c r="E10" s="3" t="s">
        <v>50</v>
      </c>
      <c r="F10" s="6">
        <v>43996</v>
      </c>
      <c r="G10" s="6">
        <v>33374</v>
      </c>
      <c r="H10" s="3" t="s">
        <v>64</v>
      </c>
      <c r="I10" s="3">
        <v>55000</v>
      </c>
      <c r="J10" s="15" t="str">
        <f t="shared" si="0"/>
        <v>MUM</v>
      </c>
      <c r="K10" t="str">
        <f t="shared" si="1"/>
        <v>109</v>
      </c>
      <c r="L10" t="str">
        <f t="shared" si="2"/>
        <v>HR-</v>
      </c>
      <c r="M10">
        <f t="shared" si="3"/>
        <v>13</v>
      </c>
      <c r="N10" t="str">
        <f t="shared" si="4"/>
        <v>ANJALI SHARMA</v>
      </c>
      <c r="O10" t="str">
        <f t="shared" si="5"/>
        <v>Anjali Sharma</v>
      </c>
      <c r="P10" t="str">
        <f t="shared" si="6"/>
        <v>Anjali Sharma</v>
      </c>
      <c r="Q10">
        <f t="shared" si="7"/>
        <v>14</v>
      </c>
      <c r="R10" t="str">
        <f t="shared" si="8"/>
        <v>anjali.sharma</v>
      </c>
      <c r="S10" t="str">
        <f t="shared" si="9"/>
        <v>gmail.com</v>
      </c>
      <c r="T10" t="str">
        <f t="shared" si="10"/>
        <v>Gmail</v>
      </c>
      <c r="U10" t="str">
        <f t="shared" si="11"/>
        <v>E109-ANJALI SHARMA</v>
      </c>
      <c r="V10" t="str">
        <f t="shared" si="12"/>
        <v>ANJALI SHARMA|HR|Mumbai</v>
      </c>
      <c r="W10" t="str">
        <f t="shared" si="13"/>
        <v>anjali.sharma@company.com</v>
      </c>
      <c r="X10">
        <f t="shared" si="14"/>
        <v>14</v>
      </c>
      <c r="Y10">
        <f t="shared" si="15"/>
        <v>6</v>
      </c>
      <c r="Z10">
        <f t="shared" si="16"/>
        <v>2020</v>
      </c>
      <c r="AA10">
        <f t="shared" si="17"/>
        <v>2020</v>
      </c>
      <c r="AB10" s="17" t="str">
        <f t="shared" si="18"/>
        <v>Jun</v>
      </c>
      <c r="AC10" s="15" t="str">
        <f t="shared" si="19"/>
        <v>Jun-20</v>
      </c>
      <c r="AD10" s="18">
        <f t="shared" ca="1" si="20"/>
        <v>35</v>
      </c>
    </row>
    <row r="11" spans="1:30">
      <c r="A11" s="3" t="s">
        <v>65</v>
      </c>
      <c r="B11" s="3" t="s">
        <v>66</v>
      </c>
      <c r="C11" s="5" t="s">
        <v>67</v>
      </c>
      <c r="D11" s="3" t="s">
        <v>3</v>
      </c>
      <c r="E11" s="3" t="s">
        <v>41</v>
      </c>
      <c r="F11" s="6">
        <v>45168</v>
      </c>
      <c r="G11" s="6">
        <v>36503</v>
      </c>
      <c r="H11" s="3" t="s">
        <v>68</v>
      </c>
      <c r="I11" s="3">
        <v>47000</v>
      </c>
      <c r="J11" s="15" t="str">
        <f t="shared" si="0"/>
        <v>CHE</v>
      </c>
      <c r="K11" t="str">
        <f t="shared" si="1"/>
        <v>110</v>
      </c>
      <c r="L11" t="str">
        <f t="shared" si="2"/>
        <v>IT-</v>
      </c>
      <c r="M11">
        <f t="shared" si="3"/>
        <v>12</v>
      </c>
      <c r="N11" t="str">
        <f t="shared" si="4"/>
        <v>Vikram Singh</v>
      </c>
      <c r="O11" t="str">
        <f t="shared" si="5"/>
        <v>Vikram Singh</v>
      </c>
      <c r="P11" t="str">
        <f t="shared" si="6"/>
        <v>Vikram Singh</v>
      </c>
      <c r="Q11">
        <f t="shared" si="7"/>
        <v>13</v>
      </c>
      <c r="R11" t="str">
        <f t="shared" si="8"/>
        <v>vikram.singh</v>
      </c>
      <c r="S11" t="str">
        <f t="shared" si="9"/>
        <v>yahoo.com</v>
      </c>
      <c r="T11" t="str">
        <f t="shared" si="10"/>
        <v>others</v>
      </c>
      <c r="U11" t="str">
        <f t="shared" si="11"/>
        <v>E110-Vikram Singh</v>
      </c>
      <c r="V11" t="str">
        <f t="shared" si="12"/>
        <v>Vikram Singh|IT|Chennai</v>
      </c>
      <c r="W11" t="str">
        <f t="shared" si="13"/>
        <v>vikram.singh@yahoo.com</v>
      </c>
      <c r="X11">
        <f t="shared" si="14"/>
        <v>30</v>
      </c>
      <c r="Y11">
        <f t="shared" si="15"/>
        <v>8</v>
      </c>
      <c r="Z11">
        <f t="shared" si="16"/>
        <v>2023</v>
      </c>
      <c r="AA11">
        <f t="shared" si="17"/>
        <v>2023</v>
      </c>
      <c r="AB11" s="17" t="str">
        <f t="shared" si="18"/>
        <v>Aug</v>
      </c>
      <c r="AC11" s="15" t="str">
        <f t="shared" si="19"/>
        <v>Aug-23</v>
      </c>
      <c r="AD11" s="18">
        <f t="shared" ca="1" si="20"/>
        <v>27</v>
      </c>
    </row>
    <row r="12" spans="1:30">
      <c r="A12" s="3" t="s">
        <v>69</v>
      </c>
      <c r="B12" s="3" t="s">
        <v>70</v>
      </c>
      <c r="C12" s="5" t="s">
        <v>71</v>
      </c>
      <c r="D12" s="3" t="s">
        <v>8</v>
      </c>
      <c r="E12" s="3" t="s">
        <v>27</v>
      </c>
      <c r="F12" s="6">
        <v>44604</v>
      </c>
      <c r="G12" s="6">
        <v>34451</v>
      </c>
      <c r="H12" s="3" t="s">
        <v>72</v>
      </c>
      <c r="I12" s="3">
        <v>46000</v>
      </c>
      <c r="J12" s="15" t="str">
        <f t="shared" si="0"/>
        <v>HYD</v>
      </c>
      <c r="K12" t="str">
        <f t="shared" si="1"/>
        <v>111</v>
      </c>
      <c r="L12" t="str">
        <f t="shared" si="2"/>
        <v>SAL</v>
      </c>
      <c r="M12">
        <f t="shared" si="3"/>
        <v>10</v>
      </c>
      <c r="N12" t="str">
        <f t="shared" si="4"/>
        <v>Neha Patel</v>
      </c>
      <c r="O12" t="str">
        <f t="shared" si="5"/>
        <v>Neha Patel</v>
      </c>
      <c r="P12" t="str">
        <f t="shared" si="6"/>
        <v>Neha Patel</v>
      </c>
      <c r="Q12">
        <f t="shared" si="7"/>
        <v>11</v>
      </c>
      <c r="R12" t="str">
        <f t="shared" si="8"/>
        <v>neha.patel</v>
      </c>
      <c r="S12" t="str">
        <f t="shared" si="9"/>
        <v>gmail.com</v>
      </c>
      <c r="T12" t="str">
        <f t="shared" si="10"/>
        <v>Gmail</v>
      </c>
      <c r="U12" t="str">
        <f t="shared" si="11"/>
        <v>E111-Neha Patel</v>
      </c>
      <c r="V12" t="str">
        <f t="shared" si="12"/>
        <v>Neha Patel|Sales|Hyderabad</v>
      </c>
      <c r="W12" t="str">
        <f t="shared" si="13"/>
        <v>neha.patel@company.com</v>
      </c>
      <c r="X12">
        <f t="shared" si="14"/>
        <v>12</v>
      </c>
      <c r="Y12">
        <f t="shared" si="15"/>
        <v>2</v>
      </c>
      <c r="Z12">
        <f t="shared" si="16"/>
        <v>2022</v>
      </c>
      <c r="AA12">
        <f t="shared" si="17"/>
        <v>2022</v>
      </c>
      <c r="AB12" s="17" t="str">
        <f t="shared" si="18"/>
        <v>Feb</v>
      </c>
      <c r="AC12" s="15" t="str">
        <f t="shared" si="19"/>
        <v>Feb-22</v>
      </c>
      <c r="AD12" s="18">
        <f t="shared" ca="1" si="20"/>
        <v>32</v>
      </c>
    </row>
    <row r="13" spans="1:30">
      <c r="A13" s="3" t="s">
        <v>73</v>
      </c>
      <c r="B13" s="3" t="s">
        <v>74</v>
      </c>
      <c r="C13" s="5" t="s">
        <v>75</v>
      </c>
      <c r="D13" s="3" t="s">
        <v>6</v>
      </c>
      <c r="E13" s="3" t="s">
        <v>50</v>
      </c>
      <c r="F13" s="6">
        <v>44341</v>
      </c>
      <c r="G13" s="6">
        <v>32762</v>
      </c>
      <c r="H13" s="3" t="s">
        <v>76</v>
      </c>
      <c r="I13" s="3">
        <v>65000</v>
      </c>
      <c r="J13" s="15" t="str">
        <f t="shared" si="0"/>
        <v>MUM</v>
      </c>
      <c r="K13" t="str">
        <f t="shared" si="1"/>
        <v>112</v>
      </c>
      <c r="L13" t="str">
        <f t="shared" si="2"/>
        <v>FIN</v>
      </c>
      <c r="M13">
        <f t="shared" si="3"/>
        <v>10</v>
      </c>
      <c r="N13" t="str">
        <f t="shared" si="4"/>
        <v>AMIT GUPTA</v>
      </c>
      <c r="O13" t="str">
        <f t="shared" si="5"/>
        <v>Amit Gupta</v>
      </c>
      <c r="P13" t="str">
        <f t="shared" si="6"/>
        <v>Amit Gupta</v>
      </c>
      <c r="Q13">
        <f t="shared" si="7"/>
        <v>11</v>
      </c>
      <c r="R13" t="str">
        <f t="shared" si="8"/>
        <v>amit.gupta</v>
      </c>
      <c r="S13" t="str">
        <f t="shared" si="9"/>
        <v>gmail.com</v>
      </c>
      <c r="T13" t="str">
        <f t="shared" si="10"/>
        <v>Gmail</v>
      </c>
      <c r="U13" t="str">
        <f t="shared" si="11"/>
        <v>E112-AMIT GUPTA</v>
      </c>
      <c r="V13" t="str">
        <f t="shared" si="12"/>
        <v>AMIT GUPTA|Finance|Mumbai</v>
      </c>
      <c r="W13" t="str">
        <f t="shared" si="13"/>
        <v>amit.gupta@company.com</v>
      </c>
      <c r="X13">
        <f t="shared" si="14"/>
        <v>25</v>
      </c>
      <c r="Y13">
        <f t="shared" si="15"/>
        <v>5</v>
      </c>
      <c r="Z13">
        <f t="shared" si="16"/>
        <v>2021</v>
      </c>
      <c r="AA13">
        <f t="shared" si="17"/>
        <v>2021</v>
      </c>
      <c r="AB13" s="17" t="str">
        <f t="shared" si="18"/>
        <v>May</v>
      </c>
      <c r="AC13" s="15" t="str">
        <f t="shared" si="19"/>
        <v>May-21</v>
      </c>
      <c r="AD13" s="18">
        <f t="shared" ca="1" si="20"/>
        <v>37</v>
      </c>
    </row>
    <row r="14" spans="1:30">
      <c r="A14" s="3" t="s">
        <v>77</v>
      </c>
      <c r="B14" s="3" t="s">
        <v>78</v>
      </c>
      <c r="C14" s="5" t="s">
        <v>79</v>
      </c>
      <c r="D14" s="3" t="s">
        <v>59</v>
      </c>
      <c r="E14" s="3" t="s">
        <v>36</v>
      </c>
      <c r="F14" s="6">
        <v>45572</v>
      </c>
      <c r="G14" s="6">
        <v>36910</v>
      </c>
      <c r="H14" s="3" t="s">
        <v>80</v>
      </c>
      <c r="I14" s="3">
        <v>40000</v>
      </c>
      <c r="J14" s="15" t="str">
        <f t="shared" si="0"/>
        <v>BLR</v>
      </c>
      <c r="K14" t="str">
        <f t="shared" si="1"/>
        <v>113</v>
      </c>
      <c r="L14" t="str">
        <f t="shared" si="2"/>
        <v>MKT</v>
      </c>
      <c r="M14">
        <f t="shared" si="3"/>
        <v>10</v>
      </c>
      <c r="N14" t="str">
        <f t="shared" si="4"/>
        <v>pooja nair</v>
      </c>
      <c r="O14" t="str">
        <f t="shared" si="5"/>
        <v>Pooja Nair</v>
      </c>
      <c r="P14" t="str">
        <f t="shared" si="6"/>
        <v>Pooja Nair</v>
      </c>
      <c r="Q14">
        <f t="shared" si="7"/>
        <v>11</v>
      </c>
      <c r="R14" t="str">
        <f t="shared" si="8"/>
        <v>pooja.nair</v>
      </c>
      <c r="S14" t="str">
        <f t="shared" si="9"/>
        <v>yahoo.com</v>
      </c>
      <c r="T14" t="str">
        <f t="shared" si="10"/>
        <v>others</v>
      </c>
      <c r="U14" t="str">
        <f t="shared" si="11"/>
        <v>E113-pooja nair</v>
      </c>
      <c r="V14" t="str">
        <f t="shared" si="12"/>
        <v>pooja nair|Marketing|Bangalore</v>
      </c>
      <c r="W14" t="str">
        <f t="shared" si="13"/>
        <v>pooja.nair@yahoo.com</v>
      </c>
      <c r="X14">
        <f t="shared" si="14"/>
        <v>7</v>
      </c>
      <c r="Y14">
        <f t="shared" si="15"/>
        <v>10</v>
      </c>
      <c r="Z14">
        <f t="shared" si="16"/>
        <v>2024</v>
      </c>
      <c r="AA14">
        <f t="shared" si="17"/>
        <v>2024</v>
      </c>
      <c r="AB14" s="17" t="str">
        <f t="shared" si="18"/>
        <v>Oct</v>
      </c>
      <c r="AC14" s="15" t="str">
        <f t="shared" si="19"/>
        <v>Oct-24</v>
      </c>
      <c r="AD14" s="18">
        <f t="shared" ca="1" si="20"/>
        <v>25</v>
      </c>
    </row>
    <row r="15" spans="1:30">
      <c r="A15" s="3" t="s">
        <v>81</v>
      </c>
      <c r="B15" s="3" t="s">
        <v>82</v>
      </c>
      <c r="C15" s="5" t="s">
        <v>83</v>
      </c>
      <c r="D15" s="3" t="s">
        <v>3</v>
      </c>
      <c r="E15" s="3" t="s">
        <v>27</v>
      </c>
      <c r="F15" s="6">
        <v>44911</v>
      </c>
      <c r="G15" s="6">
        <v>34888</v>
      </c>
      <c r="H15" s="3" t="s">
        <v>84</v>
      </c>
      <c r="I15" s="3">
        <v>58000</v>
      </c>
      <c r="J15" s="15" t="str">
        <f t="shared" si="0"/>
        <v>HYD</v>
      </c>
      <c r="K15" t="str">
        <f t="shared" si="1"/>
        <v>114</v>
      </c>
      <c r="L15" t="str">
        <f t="shared" si="2"/>
        <v>IT-</v>
      </c>
      <c r="M15">
        <f t="shared" si="3"/>
        <v>11</v>
      </c>
      <c r="N15" t="str">
        <f t="shared" si="4"/>
        <v>Suresh Babu</v>
      </c>
      <c r="O15" t="str">
        <f t="shared" si="5"/>
        <v>Suresh Babu</v>
      </c>
      <c r="P15" t="str">
        <f t="shared" si="6"/>
        <v>Suresh Babu</v>
      </c>
      <c r="Q15">
        <f t="shared" si="7"/>
        <v>12</v>
      </c>
      <c r="R15" t="str">
        <f t="shared" si="8"/>
        <v>suresh.babu</v>
      </c>
      <c r="S15" t="str">
        <f t="shared" si="9"/>
        <v>gmail.com</v>
      </c>
      <c r="T15" t="str">
        <f t="shared" si="10"/>
        <v>Gmail</v>
      </c>
      <c r="U15" t="str">
        <f t="shared" si="11"/>
        <v>E114-Suresh Babu</v>
      </c>
      <c r="V15" t="str">
        <f t="shared" si="12"/>
        <v>Suresh Babu|IT|Hyderabad</v>
      </c>
      <c r="W15" t="str">
        <f t="shared" si="13"/>
        <v>suresh.babu@company.com</v>
      </c>
      <c r="X15">
        <f t="shared" si="14"/>
        <v>16</v>
      </c>
      <c r="Y15">
        <f t="shared" si="15"/>
        <v>12</v>
      </c>
      <c r="Z15">
        <f t="shared" si="16"/>
        <v>2022</v>
      </c>
      <c r="AA15">
        <f t="shared" si="17"/>
        <v>2022</v>
      </c>
      <c r="AB15" s="17" t="str">
        <f t="shared" si="18"/>
        <v>Dec</v>
      </c>
      <c r="AC15" s="15" t="str">
        <f t="shared" si="19"/>
        <v>Dec-22</v>
      </c>
      <c r="AD15" s="18">
        <f t="shared" ca="1" si="20"/>
        <v>31</v>
      </c>
    </row>
    <row r="16" spans="1:30">
      <c r="A16" s="3" t="s">
        <v>85</v>
      </c>
      <c r="B16" s="3" t="s">
        <v>86</v>
      </c>
      <c r="C16" s="5" t="s">
        <v>87</v>
      </c>
      <c r="D16" s="3" t="s">
        <v>5</v>
      </c>
      <c r="E16" s="3" t="s">
        <v>41</v>
      </c>
      <c r="F16" s="6">
        <v>44988</v>
      </c>
      <c r="G16" s="6">
        <v>35756</v>
      </c>
      <c r="H16" s="3" t="s">
        <v>88</v>
      </c>
      <c r="I16" s="3">
        <v>43000</v>
      </c>
      <c r="J16" s="15" t="str">
        <f t="shared" si="0"/>
        <v>CHE</v>
      </c>
      <c r="K16" t="str">
        <f t="shared" si="1"/>
        <v>115</v>
      </c>
      <c r="L16" t="str">
        <f t="shared" si="2"/>
        <v>HR-</v>
      </c>
      <c r="M16">
        <f t="shared" si="3"/>
        <v>11</v>
      </c>
      <c r="N16" t="str">
        <f t="shared" si="4"/>
        <v>DIVYA REDDY</v>
      </c>
      <c r="O16" t="str">
        <f t="shared" si="5"/>
        <v>Divya Reddy</v>
      </c>
      <c r="P16" t="str">
        <f t="shared" si="6"/>
        <v>Divya Reddy</v>
      </c>
      <c r="Q16">
        <f t="shared" si="7"/>
        <v>12</v>
      </c>
      <c r="R16" t="str">
        <f t="shared" si="8"/>
        <v>divya.reddy</v>
      </c>
      <c r="S16" t="str">
        <f t="shared" si="9"/>
        <v>gmail.com</v>
      </c>
      <c r="T16" t="str">
        <f t="shared" si="10"/>
        <v>Gmail</v>
      </c>
      <c r="U16" t="str">
        <f t="shared" si="11"/>
        <v>E115-DIVYA REDDY</v>
      </c>
      <c r="V16" t="str">
        <f t="shared" si="12"/>
        <v>DIVYA REDDY|HR|Chennai</v>
      </c>
      <c r="W16" t="str">
        <f t="shared" si="13"/>
        <v>divya.reddy@company.com</v>
      </c>
      <c r="X16">
        <f t="shared" si="14"/>
        <v>3</v>
      </c>
      <c r="Y16">
        <f t="shared" si="15"/>
        <v>3</v>
      </c>
      <c r="Z16">
        <f t="shared" si="16"/>
        <v>2023</v>
      </c>
      <c r="AA16">
        <f t="shared" si="17"/>
        <v>2023</v>
      </c>
      <c r="AB16" s="17" t="str">
        <f t="shared" si="18"/>
        <v>Mar</v>
      </c>
      <c r="AC16" s="15" t="str">
        <f t="shared" si="19"/>
        <v>Mar-23</v>
      </c>
      <c r="AD16" s="18">
        <f t="shared" ca="1" si="20"/>
        <v>29</v>
      </c>
    </row>
    <row r="17" spans="1:30">
      <c r="A17" s="3" t="s">
        <v>89</v>
      </c>
      <c r="B17" s="3" t="s">
        <v>90</v>
      </c>
      <c r="C17" s="5" t="s">
        <v>91</v>
      </c>
      <c r="D17" s="3" t="s">
        <v>8</v>
      </c>
      <c r="E17" s="3" t="s">
        <v>50</v>
      </c>
      <c r="F17" s="6">
        <v>44001</v>
      </c>
      <c r="G17" s="6">
        <v>32919</v>
      </c>
      <c r="H17" s="3" t="s">
        <v>92</v>
      </c>
      <c r="I17" s="3">
        <v>51000</v>
      </c>
      <c r="J17" s="15" t="str">
        <f t="shared" si="0"/>
        <v>MUM</v>
      </c>
      <c r="K17" t="str">
        <f t="shared" si="1"/>
        <v>116</v>
      </c>
      <c r="L17" t="str">
        <f t="shared" si="2"/>
        <v>SAL</v>
      </c>
      <c r="M17">
        <f t="shared" si="3"/>
        <v>12</v>
      </c>
      <c r="N17" t="str">
        <f t="shared" si="4"/>
        <v>Naveen Kumar</v>
      </c>
      <c r="O17" t="str">
        <f t="shared" si="5"/>
        <v>Naveen Kumar</v>
      </c>
      <c r="P17" t="str">
        <f t="shared" si="6"/>
        <v>Naveen Kumar</v>
      </c>
      <c r="Q17">
        <f t="shared" si="7"/>
        <v>13</v>
      </c>
      <c r="R17" t="str">
        <f t="shared" si="8"/>
        <v>naveen.kumar</v>
      </c>
      <c r="S17" t="str">
        <f t="shared" si="9"/>
        <v>yahoo.com</v>
      </c>
      <c r="T17" t="str">
        <f t="shared" si="10"/>
        <v>others</v>
      </c>
      <c r="U17" t="str">
        <f t="shared" si="11"/>
        <v>E116-Naveen Kumar</v>
      </c>
      <c r="V17" t="str">
        <f t="shared" si="12"/>
        <v>Naveen Kumar|Sales|Mumbai</v>
      </c>
      <c r="W17" t="str">
        <f t="shared" si="13"/>
        <v>naveen.kumar@yahoo.com</v>
      </c>
      <c r="X17">
        <f t="shared" si="14"/>
        <v>19</v>
      </c>
      <c r="Y17">
        <f t="shared" si="15"/>
        <v>6</v>
      </c>
      <c r="Z17">
        <f t="shared" si="16"/>
        <v>2020</v>
      </c>
      <c r="AA17">
        <f t="shared" si="17"/>
        <v>2020</v>
      </c>
      <c r="AB17" s="17" t="str">
        <f t="shared" si="18"/>
        <v>Jun</v>
      </c>
      <c r="AC17" s="15" t="str">
        <f t="shared" si="19"/>
        <v>Jun-20</v>
      </c>
      <c r="AD17" s="18">
        <f t="shared" ca="1" si="20"/>
        <v>36</v>
      </c>
    </row>
    <row r="18" spans="1:30">
      <c r="A18" s="3" t="s">
        <v>93</v>
      </c>
      <c r="B18" s="3" t="s">
        <v>94</v>
      </c>
      <c r="C18" s="5" t="s">
        <v>95</v>
      </c>
      <c r="D18" s="3" t="s">
        <v>6</v>
      </c>
      <c r="E18" s="3" t="s">
        <v>27</v>
      </c>
      <c r="F18" s="6">
        <v>45319</v>
      </c>
      <c r="G18" s="6">
        <v>36072</v>
      </c>
      <c r="H18" s="3"/>
      <c r="I18" s="3">
        <v>49000</v>
      </c>
      <c r="J18" s="15" t="str">
        <f t="shared" si="0"/>
        <v/>
      </c>
      <c r="K18" t="str">
        <f t="shared" si="1"/>
        <v/>
      </c>
      <c r="L18" t="str">
        <f t="shared" si="2"/>
        <v/>
      </c>
      <c r="M18">
        <f t="shared" si="3"/>
        <v>10</v>
      </c>
      <c r="N18" t="str">
        <f t="shared" si="4"/>
        <v>Swathi Rao</v>
      </c>
      <c r="O18" t="str">
        <f t="shared" si="5"/>
        <v>Swathi Rao</v>
      </c>
      <c r="P18" t="str">
        <f t="shared" si="6"/>
        <v>Swathi Rao</v>
      </c>
      <c r="Q18">
        <f t="shared" si="7"/>
        <v>11</v>
      </c>
      <c r="R18" t="str">
        <f t="shared" si="8"/>
        <v>swathi.rao</v>
      </c>
      <c r="S18" t="str">
        <f t="shared" si="9"/>
        <v>gmail.com</v>
      </c>
      <c r="T18" t="str">
        <f t="shared" si="10"/>
        <v>Gmail</v>
      </c>
      <c r="U18" t="str">
        <f t="shared" si="11"/>
        <v>E117-Swathi Rao</v>
      </c>
      <c r="V18" t="str">
        <f t="shared" si="12"/>
        <v>Swathi Rao|Finance|Hyderabad</v>
      </c>
      <c r="W18" t="str">
        <f t="shared" si="13"/>
        <v>swathi.rao@company.com</v>
      </c>
      <c r="X18">
        <f t="shared" si="14"/>
        <v>28</v>
      </c>
      <c r="Y18">
        <f t="shared" si="15"/>
        <v>1</v>
      </c>
      <c r="Z18">
        <f t="shared" si="16"/>
        <v>2024</v>
      </c>
      <c r="AA18">
        <f t="shared" si="17"/>
        <v>2024</v>
      </c>
      <c r="AB18" s="17" t="str">
        <f t="shared" si="18"/>
        <v>Jan</v>
      </c>
      <c r="AC18" s="15" t="str">
        <f t="shared" si="19"/>
        <v>Jan-24</v>
      </c>
      <c r="AD18" s="18">
        <f t="shared" ca="1" si="20"/>
        <v>28</v>
      </c>
    </row>
    <row r="19" spans="1:30">
      <c r="A19" s="3" t="s">
        <v>96</v>
      </c>
      <c r="B19" s="3" t="s">
        <v>97</v>
      </c>
      <c r="C19" s="5" t="s">
        <v>98</v>
      </c>
      <c r="D19" s="3" t="s">
        <v>59</v>
      </c>
      <c r="E19" s="3" t="s">
        <v>41</v>
      </c>
      <c r="F19" s="6">
        <v>44421</v>
      </c>
      <c r="G19" s="6">
        <v>34118</v>
      </c>
      <c r="H19" s="3" t="s">
        <v>99</v>
      </c>
      <c r="I19" s="3">
        <v>53000</v>
      </c>
      <c r="J19" s="15" t="str">
        <f t="shared" si="0"/>
        <v>CHE</v>
      </c>
      <c r="K19" t="str">
        <f t="shared" si="1"/>
        <v>118</v>
      </c>
      <c r="L19" t="str">
        <f t="shared" si="2"/>
        <v>MKT</v>
      </c>
      <c r="M19">
        <f t="shared" si="3"/>
        <v>11</v>
      </c>
      <c r="N19" t="str">
        <f t="shared" si="4"/>
        <v>RAHUL VERMA</v>
      </c>
      <c r="O19" t="str">
        <f t="shared" si="5"/>
        <v>Rahul Verma</v>
      </c>
      <c r="P19" t="str">
        <f t="shared" si="6"/>
        <v>Rahul Verma</v>
      </c>
      <c r="Q19">
        <f t="shared" si="7"/>
        <v>12</v>
      </c>
      <c r="R19" t="str">
        <f t="shared" si="8"/>
        <v>rahul.verma</v>
      </c>
      <c r="S19" t="str">
        <f t="shared" si="9"/>
        <v>gmail.com</v>
      </c>
      <c r="T19" t="str">
        <f t="shared" si="10"/>
        <v>Gmail</v>
      </c>
      <c r="U19" t="str">
        <f t="shared" si="11"/>
        <v>E118-RAHUL VERMA</v>
      </c>
      <c r="V19" t="str">
        <f t="shared" si="12"/>
        <v>RAHUL VERMA|Marketing|Chennai</v>
      </c>
      <c r="W19" t="str">
        <f t="shared" si="13"/>
        <v>rahul.verma@company.com</v>
      </c>
      <c r="X19">
        <f t="shared" si="14"/>
        <v>13</v>
      </c>
      <c r="Y19">
        <f t="shared" si="15"/>
        <v>8</v>
      </c>
      <c r="Z19">
        <f t="shared" si="16"/>
        <v>2021</v>
      </c>
      <c r="AA19">
        <f t="shared" si="17"/>
        <v>2021</v>
      </c>
      <c r="AB19" s="17" t="str">
        <f t="shared" si="18"/>
        <v>Aug</v>
      </c>
      <c r="AC19" s="15" t="str">
        <f t="shared" si="19"/>
        <v>Aug-21</v>
      </c>
      <c r="AD19" s="18">
        <f t="shared" ca="1" si="20"/>
        <v>33</v>
      </c>
    </row>
    <row r="20" spans="1:30">
      <c r="A20" s="3"/>
      <c r="B20" s="3"/>
      <c r="C20" s="5"/>
      <c r="D20" s="3"/>
      <c r="E20" s="3"/>
      <c r="F20" s="7"/>
      <c r="G20" s="3"/>
      <c r="H20" s="3"/>
      <c r="I20" s="3"/>
    </row>
    <row r="24" spans="1:30">
      <c r="B24" s="9" t="s">
        <v>100</v>
      </c>
    </row>
    <row r="25" spans="1:30">
      <c r="B25" s="9" t="s">
        <v>101</v>
      </c>
    </row>
    <row r="26" spans="1:30">
      <c r="B26" s="9"/>
    </row>
    <row r="27" spans="1:30">
      <c r="B27" s="9" t="s">
        <v>102</v>
      </c>
    </row>
    <row r="28" spans="1:30">
      <c r="B28" s="9" t="s">
        <v>103</v>
      </c>
    </row>
    <row r="29" spans="1:30">
      <c r="B29" s="9"/>
    </row>
    <row r="30" spans="1:30">
      <c r="B30" s="9" t="s">
        <v>104</v>
      </c>
    </row>
    <row r="31" spans="1:30">
      <c r="B31" s="9" t="s">
        <v>105</v>
      </c>
    </row>
    <row r="32" spans="1:30">
      <c r="B32" s="9"/>
    </row>
    <row r="33" spans="2:2">
      <c r="B33" s="9" t="s">
        <v>106</v>
      </c>
    </row>
    <row r="34" spans="2:2">
      <c r="B34" s="9" t="s">
        <v>107</v>
      </c>
    </row>
    <row r="35" spans="2:2">
      <c r="B35" s="9" t="s">
        <v>108</v>
      </c>
    </row>
    <row r="36" spans="2:2">
      <c r="B36" s="9" t="s">
        <v>109</v>
      </c>
    </row>
    <row r="37" spans="2:2">
      <c r="B37" s="9" t="s">
        <v>110</v>
      </c>
    </row>
    <row r="38" spans="2:2">
      <c r="B38" s="9" t="s">
        <v>111</v>
      </c>
    </row>
    <row r="39" spans="2:2">
      <c r="B39" s="9" t="s">
        <v>112</v>
      </c>
    </row>
    <row r="40" spans="2:2">
      <c r="B40" s="9" t="s">
        <v>113</v>
      </c>
    </row>
    <row r="41" spans="2:2">
      <c r="B41" s="9" t="s">
        <v>114</v>
      </c>
    </row>
    <row r="42" spans="2:2">
      <c r="B42" s="9" t="s">
        <v>115</v>
      </c>
    </row>
    <row r="43" spans="2:2">
      <c r="B43" s="9" t="s">
        <v>116</v>
      </c>
    </row>
    <row r="44" spans="2:2">
      <c r="B44" s="9" t="s">
        <v>117</v>
      </c>
    </row>
    <row r="45" spans="2:2">
      <c r="B45" s="10" t="s">
        <v>118</v>
      </c>
    </row>
    <row r="46" spans="2:2">
      <c r="B46" s="9" t="s">
        <v>119</v>
      </c>
    </row>
    <row r="47" spans="2:2">
      <c r="B47" s="10" t="s">
        <v>120</v>
      </c>
    </row>
    <row r="48" spans="2:2">
      <c r="B48" s="9" t="s">
        <v>121</v>
      </c>
    </row>
    <row r="52" spans="2:6" ht="31.2">
      <c r="B52" s="11" t="s">
        <v>122</v>
      </c>
      <c r="F52" s="16"/>
    </row>
    <row r="53" spans="2:6">
      <c r="B53" s="9"/>
    </row>
    <row r="54" spans="2:6">
      <c r="B54" s="9" t="s">
        <v>123</v>
      </c>
    </row>
    <row r="55" spans="2:6">
      <c r="B55" s="9" t="s">
        <v>124</v>
      </c>
    </row>
    <row r="56" spans="2:6">
      <c r="B56" s="9" t="s">
        <v>125</v>
      </c>
    </row>
    <row r="57" spans="2:6">
      <c r="B57" s="9" t="s">
        <v>126</v>
      </c>
    </row>
    <row r="58" spans="2:6">
      <c r="B58" s="9" t="s">
        <v>127</v>
      </c>
    </row>
    <row r="59" spans="2:6">
      <c r="B59" s="9" t="s">
        <v>128</v>
      </c>
    </row>
    <row r="60" spans="2:6">
      <c r="B60" s="9" t="s">
        <v>129</v>
      </c>
    </row>
    <row r="61" spans="2:6">
      <c r="B61" s="12">
        <v>44562</v>
      </c>
    </row>
    <row r="62" spans="2:6">
      <c r="B62" s="9" t="s">
        <v>130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dcterms:created xsi:type="dcterms:W3CDTF">2026-09-10T17:11:08Z</dcterms:created>
  <dcterms:modified xsi:type="dcterms:W3CDTF">2026-10-08T17:07:24Z</dcterms:modified>
</cp:coreProperties>
</file>