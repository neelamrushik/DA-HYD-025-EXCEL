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/"/>
    </mc:Choice>
  </mc:AlternateContent>
  <xr:revisionPtr revIDLastSave="0" documentId="8_{F808FC98-9BA0-41C9-AD96-1C5B60B84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6" i="1" l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<sst xmlns="http://schemas.openxmlformats.org/spreadsheetml/2006/main" count="467" uniqueCount="234">
  <si>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</si>
  <si>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</si>
  <si>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</si>
  <si>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</si>
  <si>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</si>
  <si>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</si>
  <si>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</si>
  <si>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</si>
  <si>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</si>
  <si>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</si>
  <si>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</si>
  <si>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</si>
  <si>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</si>
  <si>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</si>
  <si>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</si>
  <si>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</si>
  <si>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</si>
  <si>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</si>
  <si>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</si>
  <si>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</si>
  <si>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</si>
  <si>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</si>
  <si>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</si>
  <si>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</si>
  <si>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</si>
  <si>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</si>
  <si>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</si>
  <si>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</si>
  <si>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</si>
  <si>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</si>
  <si>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</si>
  <si>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</si>
  <si>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</si>
  <si>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</si>
  <si>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</si>
  <si>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</si>
  <si>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</si>
  <si>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</si>
  <si>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</si>
  <si>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</si>
  <si>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</si>
  <si>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</si>
  <si>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</si>
  <si>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</si>
  <si>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</si>
  <si>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</si>
  <si>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</si>
  <si>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</si>
  <si>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</si>
  <si>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</si>
  <si>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</si>
  <si>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</si>
  <si>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</si>
  <si>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</si>
  <si>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</si>
  <si>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</si>
  <si>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</si>
  <si>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</si>
  <si>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</si>
  <si>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</si>
  <si>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</si>
  <si>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</si>
  <si>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</si>
  <si>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</si>
  <si>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</si>
  <si>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</si>
  <si>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</si>
  <si>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</si>
  <si>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</si>
  <si>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</si>
  <si>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</si>
  <si>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</si>
  <si>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</si>
  <si>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</si>
  <si>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</si>
  <si>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</si>
  <si>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</si>
  <si>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</si>
  <si>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</si>
  <si>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</si>
  <si>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</si>
  <si>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</si>
  <si>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</si>
  <si>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</si>
  <si>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</si>
  <si>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</si>
  <si>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</si>
  <si>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</si>
  <si>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</si>
  <si>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</si>
  <si>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</si>
  <si>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</si>
  <si>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</si>
  <si>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</si>
  <si>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</si>
  <si>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</si>
  <si>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</si>
  <si>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</si>
  <si>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</si>
  <si>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</si>
  <si>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</si>
  <si>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</si>
  <si>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</si>
  <si>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</si>
  <si>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</si>
  <si>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</si>
  <si>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</si>
  <si>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</si>
  <si>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</si>
  <si>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</si>
  <si>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</si>
  <si>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</si>
  <si>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</si>
  <si>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</si>
  <si>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</si>
  <si>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</si>
  <si>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</si>
  <si>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</si>
  <si>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</si>
  <si>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</si>
  <si>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</si>
  <si>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</si>
  <si>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</si>
  <si>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</si>
  <si>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</si>
  <si>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</si>
  <si>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</si>
  <si>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</si>
  <si>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</si>
  <si>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</si>
  <si>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</si>
  <si>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</si>
  <si>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</si>
  <si>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</si>
  <si>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</si>
  <si>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</si>
  <si>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</si>
  <si>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</si>
  <si>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</si>
  <si>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</si>
  <si>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</si>
  <si>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</si>
  <si>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</si>
  <si>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</si>
  <si>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</si>
  <si>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</si>
  <si>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</si>
  <si>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</si>
  <si>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</si>
  <si>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</si>
  <si>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</si>
  <si>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</si>
  <si>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</si>
  <si>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</si>
  <si>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</si>
  <si>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</si>
  <si>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</si>
  <si>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</si>
  <si>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</si>
  <si>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</si>
  <si>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</si>
  <si>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</si>
  <si>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</si>
  <si>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</si>
  <si>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</si>
  <si>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</si>
  <si>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</si>
  <si>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</si>
  <si>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</si>
  <si>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</si>
  <si>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</si>
  <si>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</si>
  <si>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</si>
  <si>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</si>
  <si>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</si>
  <si>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</si>
  <si>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</si>
  <si>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</si>
  <si>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</si>
  <si>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</si>
  <si>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</si>
  <si>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</si>
  <si>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</si>
  <si>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</si>
  <si>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</si>
  <si>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</si>
  <si>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</si>
  <si>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</si>
  <si>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</si>
  <si>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</si>
  <si>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</si>
  <si>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</si>
  <si>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</si>
  <si>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</si>
  <si>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</si>
  <si>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</si>
  <si>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</si>
  <si>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</si>
  <si>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</si>
  <si>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</si>
  <si>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</si>
  <si>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</si>
  <si>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</si>
  <si>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</si>
  <si>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</si>
  <si>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</si>
  <si>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</si>
  <si>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</si>
  <si>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</si>
  <si>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</si>
  <si>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</si>
  <si>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</si>
  <si>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</si>
  <si>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</si>
  <si>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</si>
  <si>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</si>
  <si>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</si>
  <si>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</si>
  <si>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</si>
  <si>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</si>
  <si>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</si>
  <si>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</si>
  <si>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</si>
  <si>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</si>
  <si>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</si>
  <si>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</si>
  <si>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</si>
  <si>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</si>
  <si>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</si>
  <si>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</si>
  <si>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</si>
  <si>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</si>
  <si>
    <t>Bill amount category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</si>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</sst>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zoomScale="55" workbookViewId="0">
      <selection activeCell="Q19" sqref="Q19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1" max="21" width="21.4414062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  <c r="U1" s="16" t="s">
        <v>232</v>
      </c>
      <c r="V1" s="16" t="s">
        <v>233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I47" s="15">
        <f>SUM(Bills)</f>
        <v>1019500</v>
      </c>
    </row>
    <row r="48" spans="1:22">
      <c r="E48" t="s">
        <v>138</v>
      </c>
      <c r="I48">
        <f>SUMIF(Department,E41,Bills)</f>
        <v>443500</v>
      </c>
    </row>
    <row r="49" spans="5:9">
      <c r="E49" t="s">
        <v>139</v>
      </c>
      <c r="I49">
        <f>COUNTIF(Department,E40)</f>
        <v>7</v>
      </c>
    </row>
    <row r="50" spans="5:9">
      <c r="E50" t="s">
        <v>140</v>
      </c>
      <c r="I50">
        <f>AVERAGEIF(Department,E39,Bills)</f>
        <v>25571.428571428572</v>
      </c>
    </row>
    <row r="51" spans="5:9">
      <c r="E51" t="s">
        <v>124</v>
      </c>
      <c r="I51">
        <f>SUMIF(J2:J41,J40,Bills)</f>
        <v>499500</v>
      </c>
    </row>
    <row r="52" spans="5:9">
      <c r="E52" t="s">
        <v>125</v>
      </c>
      <c r="I52">
        <f>COUNTIF(L2:L41,L40)</f>
        <v>10</v>
      </c>
    </row>
    <row r="53" spans="5:9">
      <c r="E53" t="s">
        <v>126</v>
      </c>
      <c r="I53">
        <f>SUMIF(L2:L41,L40,Bills)</f>
        <v>344500</v>
      </c>
    </row>
    <row r="54" spans="5:9">
      <c r="E54" t="s">
        <v>127</v>
      </c>
      <c r="I54">
        <f>SUMIFS(Bills,Department,E41,J2:J41,J40)</f>
        <v>275500</v>
      </c>
    </row>
    <row r="55" spans="5:9">
      <c r="E55" t="s">
        <v>128</v>
      </c>
      <c r="I55">
        <f>COUNTIFS(Department,E41,L2:L41,L40)</f>
        <v>4</v>
      </c>
    </row>
    <row r="56" spans="5:9">
      <c r="E56" t="s">
        <v>129</v>
      </c>
      <c r="I56">
        <f>AVERAGEIF(J2:J41,J41,Bills)</f>
        <v>25766.666666666668</v>
      </c>
    </row>
    <row r="57" spans="5:9">
      <c r="E57" t="s">
        <v>130</v>
      </c>
      <c r="I57">
        <f>COUNTIF(Bills,"&gt;40000")</f>
        <v>9</v>
      </c>
    </row>
    <row r="58" spans="5:9">
      <c r="E58" t="s">
        <v>131</v>
      </c>
      <c r="I58">
        <f>SUMIF(Bills,"&gt;40000",Bills)</f>
        <v>508000</v>
      </c>
    </row>
    <row r="59" spans="5:9">
      <c r="E59" t="s">
        <v>132</v>
      </c>
      <c r="I59">
        <f>COUNTIF(M2:M41,"&gt;5")</f>
        <v>11</v>
      </c>
    </row>
    <row r="60" spans="5:9">
      <c r="E60" t="s">
        <v>133</v>
      </c>
      <c r="I60">
        <f>SUMIF(M2:M41,"&gt;5",Bills)</f>
        <v>582000</v>
      </c>
    </row>
    <row r="61" spans="5:9">
      <c r="E61" t="s">
        <v>134</v>
      </c>
      <c r="I61">
        <f>SUMIFS(Bills,Department,E41,M2:M41,"&gt;5")</f>
        <v>320000</v>
      </c>
    </row>
    <row r="62" spans="5:9">
      <c r="E62" t="s">
        <v>135</v>
      </c>
      <c r="I62">
        <f>AVERAGEIF(L2:L41,L40,M2:M41)</f>
        <v>5.8</v>
      </c>
    </row>
    <row r="63" spans="5:9">
      <c r="E63" t="s">
        <v>136</v>
      </c>
      <c r="I63">
        <f>_xlfn.MAXIFS(Bills,Department,E41)</f>
        <v>76000</v>
      </c>
    </row>
    <row r="64" spans="5:9">
      <c r="E64" t="s">
        <v>137</v>
      </c>
      <c r="I64">
        <f>_xlfn.MINIFS(Bills,Department,E38)</f>
        <v>12500</v>
      </c>
    </row>
    <row r="65" spans="5:9">
      <c r="E65" t="s">
        <v>141</v>
      </c>
      <c r="I65">
        <f>COUNTIFS(Department,E41,J2:J41,J40)</f>
        <v>5</v>
      </c>
    </row>
    <row r="66" spans="5:9">
      <c r="E66" t="s">
        <v>142</v>
      </c>
      <c r="I66">
        <f>AVERAGEIFS(Bills,Department,E41,J2:J41,J19)</f>
        <v>55100</v>
      </c>
    </row>
  </sheetData>
  <conditionalFormatting sqref="R2:R41">
    <cfRule type="containsText" dxfId="6" priority="4" operator="containsText" text="urgent$R$8">
      <formula>NOT(ISERROR(SEARCH("urgent$R$8",R2)))</formula>
    </cfRule>
    <cfRule type="containsText" dxfId="5" priority="3" operator="containsText" text="urgent followup">
      <formula>NOT(ISERROR(SEARCH("urgent followup",R2)))</formula>
    </cfRule>
  </conditionalFormatting>
  <conditionalFormatting sqref="L2:L41">
    <cfRule type="containsText" dxfId="0" priority="2" operator="containsText" text="pending">
      <formula>NOT(ISERROR(SEARCH("pending",L2)))</formula>
    </cfRule>
    <cfRule type="containsText" dxfId="1" priority="1" operator="containsText" text="Paid">
      <formula>NOT(ISERROR(SEARCH("Paid",L2)))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A43" sqref="A43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topLeftCell="A11"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2026-09-09T05:55:57Z</dcterms:created>
  <dcterms:modified xsi:type="dcterms:W3CDTF">2026-10-04T15:13:50Z</dcterms:modified>
</cp:coreProperties>
</file>